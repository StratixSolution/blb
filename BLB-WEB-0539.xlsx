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un desktop\BEAN LEAF BREW LLP260623\Sales\Sale Invoices\Website\"/>
    </mc:Choice>
  </mc:AlternateContent>
  <xr:revisionPtr revIDLastSave="0" documentId="8_{6715C238-7CAC-4A47-B280-A1F364F75E82}" xr6:coauthVersionLast="47" xr6:coauthVersionMax="47" xr10:uidLastSave="{00000000-0000-0000-0000-000000000000}"/>
  <bookViews>
    <workbookView xWindow="-98" yWindow="-98" windowWidth="21795" windowHeight="12975" xr2:uid="{1F47BF1D-C293-49D4-9EC8-6A72BD326446}"/>
  </bookViews>
  <sheets>
    <sheet name="NBL MONARCH  " sheetId="2" r:id="rId1"/>
  </sheets>
  <definedNames>
    <definedName name="_xlnm.Print_Area" localSheetId="0">'NBL MONARCH  '!$A$1:$O$66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2" l="1"/>
  <c r="M24" i="2" s="1"/>
  <c r="N23" i="2"/>
  <c r="O23" i="2" s="1"/>
  <c r="N26" i="2"/>
  <c r="M26" i="2" s="1"/>
  <c r="N22" i="2"/>
  <c r="M22" i="2" s="1"/>
  <c r="N34" i="2"/>
  <c r="M34" i="2" s="1"/>
  <c r="E53" i="2"/>
  <c r="F44" i="2"/>
  <c r="N44" i="2"/>
  <c r="N43" i="2"/>
  <c r="M43" i="2" s="1"/>
  <c r="N42" i="2"/>
  <c r="M42" i="2" s="1"/>
  <c r="N41" i="2"/>
  <c r="M41" i="2" s="1"/>
  <c r="N40" i="2"/>
  <c r="M40" i="2" s="1"/>
  <c r="N39" i="2"/>
  <c r="M39" i="2" s="1"/>
  <c r="N38" i="2"/>
  <c r="M38" i="2" s="1"/>
  <c r="N37" i="2"/>
  <c r="M37" i="2" s="1"/>
  <c r="N36" i="2"/>
  <c r="M36" i="2" s="1"/>
  <c r="N33" i="2"/>
  <c r="M33" i="2" s="1"/>
  <c r="N32" i="2"/>
  <c r="M32" i="2" s="1"/>
  <c r="N31" i="2"/>
  <c r="M31" i="2" s="1"/>
  <c r="N30" i="2"/>
  <c r="M30" i="2" s="1"/>
  <c r="N29" i="2"/>
  <c r="M29" i="2" s="1"/>
  <c r="N28" i="2"/>
  <c r="M28" i="2" s="1"/>
  <c r="N27" i="2"/>
  <c r="M27" i="2" s="1"/>
  <c r="N25" i="2"/>
  <c r="M25" i="2" s="1"/>
  <c r="K24" i="2" l="1"/>
  <c r="L24" i="2"/>
  <c r="K23" i="2"/>
  <c r="O24" i="2"/>
  <c r="L23" i="2"/>
  <c r="M23" i="2"/>
  <c r="K40" i="2"/>
  <c r="L39" i="2"/>
  <c r="O37" i="2"/>
  <c r="O28" i="2"/>
  <c r="O27" i="2"/>
  <c r="O25" i="2" l="1"/>
  <c r="L26" i="2"/>
  <c r="L27" i="2"/>
  <c r="K27" i="2"/>
  <c r="K25" i="2"/>
  <c r="L25" i="2"/>
  <c r="K28" i="2"/>
  <c r="L28" i="2"/>
  <c r="L41" i="2"/>
  <c r="O41" i="2"/>
  <c r="K41" i="2"/>
  <c r="O39" i="2"/>
  <c r="K39" i="2"/>
  <c r="K37" i="2"/>
  <c r="L37" i="2"/>
  <c r="L34" i="2"/>
  <c r="O34" i="2"/>
  <c r="K34" i="2"/>
  <c r="O29" i="2"/>
  <c r="K29" i="2"/>
  <c r="O26" i="2"/>
  <c r="L29" i="2"/>
  <c r="K26" i="2"/>
  <c r="O40" i="2"/>
  <c r="L40" i="2"/>
  <c r="O38" i="2" l="1"/>
  <c r="L36" i="2"/>
  <c r="K22" i="2" l="1"/>
  <c r="L22" i="2"/>
  <c r="K38" i="2"/>
  <c r="L38" i="2"/>
  <c r="O36" i="2"/>
  <c r="K36" i="2"/>
  <c r="O22" i="2"/>
  <c r="M44" i="2" l="1"/>
  <c r="O30" i="2"/>
  <c r="L30" i="2"/>
  <c r="K30" i="2"/>
  <c r="O31" i="2" l="1"/>
  <c r="O42" i="2" l="1"/>
  <c r="L42" i="2"/>
  <c r="K42" i="2"/>
  <c r="L31" i="2" l="1"/>
  <c r="K31" i="2"/>
  <c r="O43" i="2" l="1"/>
  <c r="L43" i="2"/>
  <c r="K43" i="2"/>
  <c r="O32" i="2"/>
  <c r="K32" i="2" l="1"/>
  <c r="L32" i="2"/>
  <c r="O33" i="2" l="1"/>
  <c r="O45" i="2" s="1"/>
  <c r="L33" i="2"/>
  <c r="L44" i="2" s="1"/>
  <c r="K33" i="2"/>
  <c r="K44" i="2" s="1"/>
  <c r="O46" i="2" l="1"/>
  <c r="O47" i="2" s="1"/>
</calcChain>
</file>

<file path=xl/sharedStrings.xml><?xml version="1.0" encoding="utf-8"?>
<sst xmlns="http://schemas.openxmlformats.org/spreadsheetml/2006/main" count="137" uniqueCount="93">
  <si>
    <t xml:space="preserve">Bean Leaf Brew LLP                                                   </t>
  </si>
  <si>
    <t>Prime Square 303, Whitefield Main Road,</t>
  </si>
  <si>
    <t>Invoice /Bill of Supply/ Cash Memo</t>
  </si>
  <si>
    <r>
      <t>PAN No.: ABBFB1050H</t>
    </r>
    <r>
      <rPr>
        <b/>
        <sz val="9"/>
        <color rgb="FF000000"/>
        <rFont val="Abadi"/>
        <family val="2"/>
      </rPr>
      <t xml:space="preserve">   | </t>
    </r>
    <r>
      <rPr>
        <sz val="9"/>
        <color rgb="FF000000"/>
        <rFont val="Abadi"/>
        <family val="2"/>
      </rPr>
      <t>GSTIN No. 29ABBFB1050H1ZU | FSSAI LIC No.</t>
    </r>
    <r>
      <rPr>
        <b/>
        <sz val="9"/>
        <color rgb="FF000000"/>
        <rFont val="Abadi"/>
        <family val="2"/>
      </rPr>
      <t xml:space="preserve"> 11223333000745              </t>
    </r>
  </si>
  <si>
    <t xml:space="preserve"> </t>
  </si>
  <si>
    <t>MRP Rs /Unit</t>
  </si>
  <si>
    <t xml:space="preserve">Bank: Bean Leaf Brew LLP, ICICI Bank Current A/C No. 317005001369, IFSC Code. ICIC0003170 Kannamangala Branch, Bangalore 560067 </t>
  </si>
  <si>
    <t>0710497 981644</t>
  </si>
  <si>
    <t>0710497 981705</t>
  </si>
  <si>
    <t>0710497 981729</t>
  </si>
  <si>
    <t xml:space="preserve"> 0726684845002</t>
  </si>
  <si>
    <t xml:space="preserve"> 0726684845019</t>
  </si>
  <si>
    <t xml:space="preserve"> 0726684845026</t>
  </si>
  <si>
    <t xml:space="preserve"> 0726684845033</t>
  </si>
  <si>
    <t>EAN Bar Code</t>
  </si>
  <si>
    <t>100 g</t>
  </si>
  <si>
    <t>176 g</t>
  </si>
  <si>
    <t>CGST %</t>
  </si>
  <si>
    <t>IGST %</t>
  </si>
  <si>
    <t>Matcha Lattee Classic ( Box of 6 sachets)</t>
  </si>
  <si>
    <t>Milk Tea Ginger ( Box of 6 sachets)</t>
  </si>
  <si>
    <t>168g</t>
  </si>
  <si>
    <t>Pack size</t>
  </si>
  <si>
    <t xml:space="preserve">EAN </t>
  </si>
  <si>
    <t>250g</t>
  </si>
  <si>
    <t>No. of Packs</t>
  </si>
  <si>
    <t xml:space="preserve">HSN code : 21011110  </t>
  </si>
  <si>
    <t xml:space="preserve">Basic Rate Rs/BoUM </t>
  </si>
  <si>
    <t>IGST Rs.</t>
  </si>
  <si>
    <t>Total Basic Rate  Rs.</t>
  </si>
  <si>
    <t xml:space="preserve">TOTAL INVOICE AMOUNT </t>
  </si>
  <si>
    <t>Morning Buzz   | Whole Roasted Beans</t>
  </si>
  <si>
    <t>Deja Brew        |Roasted &amp; Ground Coffee</t>
  </si>
  <si>
    <t>Morning Buzz   | Roasted &amp; Ground Coffee</t>
  </si>
  <si>
    <t>Golden Crema   |Roasted &amp; Ground Coffee</t>
  </si>
  <si>
    <t>House Brew      |Roasted &amp; Ground Coffee</t>
  </si>
  <si>
    <t>Green Tea  -Orange -Lemon ( Box of  8 sachets)</t>
  </si>
  <si>
    <t>Black Tea  :Classic Lemon ( Box of 8 sachets)</t>
  </si>
  <si>
    <t>Black Coffee  : Cranberry- Vanilla ( Box of 8 Sachets)</t>
  </si>
  <si>
    <t>Total GST Rs.</t>
  </si>
  <si>
    <t>0710497981798</t>
  </si>
  <si>
    <t>0726684845002</t>
  </si>
  <si>
    <t>0726684845026</t>
  </si>
  <si>
    <t>0726684845019</t>
  </si>
  <si>
    <t>0726684845033</t>
  </si>
  <si>
    <t>0710497981644</t>
  </si>
  <si>
    <t>0710497981705</t>
  </si>
  <si>
    <t>0710497981729</t>
  </si>
  <si>
    <t>0710497981774</t>
  </si>
  <si>
    <t>0710497981767</t>
  </si>
  <si>
    <r>
      <t>Bengaluru 560066, Karnataka, INDIA</t>
    </r>
    <r>
      <rPr>
        <b/>
        <sz val="12"/>
        <color rgb="FF000000"/>
        <rFont val="Abadi"/>
        <family val="2"/>
      </rPr>
      <t xml:space="preserve"> </t>
    </r>
    <r>
      <rPr>
        <sz val="12"/>
        <color theme="1"/>
        <rFont val="Abadi"/>
        <family val="2"/>
      </rPr>
      <t xml:space="preserve">              </t>
    </r>
  </si>
  <si>
    <t>Traditional South|Roasted &amp; Ground Coffee</t>
  </si>
  <si>
    <t>100g</t>
  </si>
  <si>
    <t>Green Tea- Pineapple ( Box of 8 sachets)</t>
  </si>
  <si>
    <t>Black Tea: Strawberry ( Box of 8 sachets)</t>
  </si>
  <si>
    <t>Black Coffee: Water melon ( Box of 8 Sachets)</t>
  </si>
  <si>
    <t>176g</t>
  </si>
  <si>
    <t>0745604911177</t>
  </si>
  <si>
    <t>0745604911184</t>
  </si>
  <si>
    <t>0745604911191</t>
  </si>
  <si>
    <t>0745604911207</t>
  </si>
  <si>
    <t>0745604911214</t>
  </si>
  <si>
    <t>0726684845040</t>
  </si>
  <si>
    <t>0710497981743</t>
  </si>
  <si>
    <t>0710497981736</t>
  </si>
  <si>
    <t>0710497981750</t>
  </si>
  <si>
    <t xml:space="preserve"> item No.</t>
  </si>
  <si>
    <t xml:space="preserve">Customer Billing Address:                                                                        </t>
  </si>
  <si>
    <t>Delivery Address</t>
  </si>
  <si>
    <t>Invoice No. :</t>
  </si>
  <si>
    <t xml:space="preserve">Date : </t>
  </si>
  <si>
    <r>
      <t>Bengaluru 560066, Karnataka, INDIA</t>
    </r>
    <r>
      <rPr>
        <b/>
        <sz val="10"/>
        <color rgb="FF000000"/>
        <rFont val="Abadi"/>
        <family val="2"/>
      </rPr>
      <t xml:space="preserve"> </t>
    </r>
    <r>
      <rPr>
        <sz val="10"/>
        <color theme="1"/>
        <rFont val="Abadi"/>
        <family val="2"/>
      </rPr>
      <t xml:space="preserve">              </t>
    </r>
  </si>
  <si>
    <t>www.beanleafbrew.com |beanleafbrew@gmail.com</t>
  </si>
  <si>
    <t xml:space="preserve">T&amp;C : Payment received </t>
  </si>
  <si>
    <t>To</t>
  </si>
  <si>
    <t>From</t>
  </si>
  <si>
    <t xml:space="preserve"> +91 8123273344|7022076555</t>
  </si>
  <si>
    <t xml:space="preserve">  </t>
  </si>
  <si>
    <t>SGST %</t>
  </si>
  <si>
    <t>SGST Rs.</t>
  </si>
  <si>
    <t>CGST Rs</t>
  </si>
  <si>
    <t>Basic  Total Rs.</t>
  </si>
  <si>
    <t>Deja Brew        |Whole Roasted Beans</t>
  </si>
  <si>
    <t>Golden Crema | Whole Roasted Beans</t>
  </si>
  <si>
    <t>0710497981781</t>
  </si>
  <si>
    <t>0710497981675</t>
  </si>
  <si>
    <t>HSN code:09012110</t>
  </si>
  <si>
    <t>Deepanjali R
679/7 3rd Floor, Above Royal Collection Gift Shop, Bhushan Store wali gali, Govindpuri
New Delhi 110019
Delhi
Email address:
deepu_virgoin@yahoo.com
Phone:
9911005655</t>
  </si>
  <si>
    <t>Deepanjali R
679/7 3rd Floor, Above Royal Collection Gift Shop, Bhushan Store wali gali, Govindpuri New Delhi 110019
Delhi
Email address:
deepu_virgoin@yahoo.com
Phone:
9911005655</t>
  </si>
  <si>
    <t>Morning Buzz   |Moka Pot</t>
  </si>
  <si>
    <t xml:space="preserve"> ₹ One thousand and eight hundred only </t>
  </si>
  <si>
    <t>BLB-WEB-0539</t>
  </si>
  <si>
    <t>19/9/2026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</si>
</sst>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Abad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badi"/>
      <family val="2"/>
    </font>
    <font>
      <sz val="10"/>
      <color theme="1"/>
      <name val="Aptos Narrow"/>
      <family val="2"/>
      <scheme val="minor"/>
    </font>
    <font>
      <sz val="9"/>
      <color theme="1"/>
      <name val="Abadi"/>
      <family val="2"/>
    </font>
    <font>
      <b/>
      <sz val="9"/>
      <color rgb="FF000000"/>
      <name val="Abadi"/>
      <family val="2"/>
    </font>
    <font>
      <sz val="9"/>
      <color rgb="FF000000"/>
      <name val="Abadi"/>
      <family val="2"/>
    </font>
    <font>
      <u/>
      <sz val="9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badi"/>
      <family val="2"/>
    </font>
    <font>
      <sz val="12"/>
      <color rgb="FF000000"/>
      <name val="Abadi"/>
      <family val="2"/>
    </font>
    <font>
      <b/>
      <sz val="12"/>
      <color rgb="FF000000"/>
      <name val="Abadi"/>
      <family val="2"/>
    </font>
    <font>
      <b/>
      <sz val="9"/>
      <color theme="1"/>
      <name val="Abadi"/>
      <family val="2"/>
    </font>
    <font>
      <sz val="10"/>
      <color rgb="FF000000"/>
      <name val="Abadi"/>
      <family val="2"/>
    </font>
    <font>
      <u/>
      <sz val="11"/>
      <color theme="1"/>
      <name val="Aptos Narrow"/>
      <family val="2"/>
      <scheme val="minor"/>
    </font>
    <font>
      <u/>
      <sz val="10"/>
      <color theme="10"/>
      <name val="Abadi"/>
      <family val="2"/>
    </font>
    <font>
      <b/>
      <sz val="10"/>
      <color rgb="FF000000"/>
      <name val="Abadi"/>
      <family val="2"/>
    </font>
    <font>
      <sz val="10"/>
      <name val="Abadi"/>
      <family val="2"/>
    </font>
    <font>
      <sz val="18"/>
      <color theme="1"/>
      <name val="Abadi"/>
      <family val="2"/>
    </font>
    <font>
      <sz val="14"/>
      <color theme="1"/>
      <name val="Aptos Narrow"/>
      <family val="2"/>
      <scheme val="minor"/>
    </font>
    <font>
      <sz val="14"/>
      <color theme="1"/>
      <name val="Abadi"/>
      <family val="2"/>
    </font>
    <font>
      <sz val="12"/>
      <name val="Abadi"/>
      <family val="2"/>
    </font>
    <font>
      <b/>
      <sz val="11"/>
      <color rgb="FF636363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1" xfId="0" applyBorder="1"/>
    <xf numFmtId="0" fontId="5" fillId="0" borderId="0" xfId="0" applyFont="1"/>
    <xf numFmtId="0" fontId="5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6" xfId="0" applyBorder="1"/>
    <xf numFmtId="0" fontId="5" fillId="0" borderId="5" xfId="0" applyFont="1" applyBorder="1" applyAlignment="1">
      <alignment horizontal="right" vertical="center"/>
    </xf>
    <xf numFmtId="0" fontId="8" fillId="0" borderId="0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" fontId="5" fillId="0" borderId="8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164" fontId="0" fillId="0" borderId="8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4" fontId="4" fillId="0" borderId="7" xfId="0" applyNumberFormat="1" applyFont="1" applyBorder="1"/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  <xf numFmtId="0" fontId="5" fillId="2" borderId="8" xfId="0" applyFont="1" applyFill="1" applyBorder="1"/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5" fillId="3" borderId="5" xfId="0" applyFont="1" applyFill="1" applyBorder="1" applyAlignment="1">
      <alignment horizontal="right" vertical="center"/>
    </xf>
    <xf numFmtId="1" fontId="5" fillId="3" borderId="8" xfId="0" applyNumberFormat="1" applyFont="1" applyFill="1" applyBorder="1" applyAlignment="1">
      <alignment horizontal="center"/>
    </xf>
    <xf numFmtId="0" fontId="1" fillId="0" borderId="1" xfId="0" applyFont="1" applyBorder="1"/>
    <xf numFmtId="1" fontId="1" fillId="0" borderId="7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5" fillId="0" borderId="5" xfId="0" applyNumberFormat="1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0" fontId="3" fillId="0" borderId="5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9" xfId="0" applyFont="1" applyBorder="1" applyAlignment="1">
      <alignment vertical="center"/>
    </xf>
    <xf numFmtId="0" fontId="5" fillId="0" borderId="9" xfId="0" applyFont="1" applyBorder="1"/>
    <xf numFmtId="0" fontId="5" fillId="0" borderId="12" xfId="0" applyFont="1" applyBorder="1"/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2" fontId="1" fillId="0" borderId="6" xfId="0" applyNumberFormat="1" applyFont="1" applyBorder="1" applyAlignment="1">
      <alignment wrapText="1"/>
    </xf>
    <xf numFmtId="2" fontId="1" fillId="0" borderId="7" xfId="0" applyNumberFormat="1" applyFont="1" applyBorder="1" applyAlignment="1">
      <alignment horizontal="center"/>
    </xf>
    <xf numFmtId="0" fontId="11" fillId="0" borderId="5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wrapText="1"/>
    </xf>
    <xf numFmtId="2" fontId="5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" xfId="0" applyFont="1" applyBorder="1"/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wrapText="1"/>
    </xf>
    <xf numFmtId="2" fontId="5" fillId="3" borderId="6" xfId="0" applyNumberFormat="1" applyFont="1" applyFill="1" applyBorder="1" applyAlignment="1">
      <alignment wrapText="1"/>
    </xf>
    <xf numFmtId="2" fontId="5" fillId="3" borderId="7" xfId="0" applyNumberFormat="1" applyFont="1" applyFill="1" applyBorder="1" applyAlignment="1">
      <alignment horizontal="center"/>
    </xf>
    <xf numFmtId="0" fontId="13" fillId="0" borderId="4" xfId="0" applyFont="1" applyBorder="1" applyAlignment="1">
      <alignment vertical="center"/>
    </xf>
    <xf numFmtId="0" fontId="5" fillId="3" borderId="6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5" fillId="0" borderId="10" xfId="0" applyFont="1" applyBorder="1" applyAlignment="1">
      <alignment vertical="center"/>
    </xf>
    <xf numFmtId="0" fontId="9" fillId="0" borderId="10" xfId="0" applyFont="1" applyBorder="1"/>
    <xf numFmtId="0" fontId="14" fillId="0" borderId="5" xfId="0" applyFont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0" fillId="0" borderId="4" xfId="0" applyBorder="1"/>
    <xf numFmtId="0" fontId="5" fillId="0" borderId="11" xfId="0" applyFont="1" applyBorder="1" applyAlignment="1">
      <alignment vertical="center"/>
    </xf>
    <xf numFmtId="0" fontId="0" fillId="0" borderId="5" xfId="0" applyBorder="1"/>
    <xf numFmtId="0" fontId="5" fillId="0" borderId="1" xfId="0" applyFont="1" applyBorder="1" applyAlignment="1">
      <alignment vertical="center"/>
    </xf>
    <xf numFmtId="0" fontId="9" fillId="0" borderId="1" xfId="0" applyFont="1" applyBorder="1"/>
    <xf numFmtId="0" fontId="5" fillId="0" borderId="0" xfId="0" applyFont="1" applyAlignment="1">
      <alignment vertical="center"/>
    </xf>
    <xf numFmtId="0" fontId="9" fillId="0" borderId="0" xfId="0" applyFont="1"/>
    <xf numFmtId="0" fontId="15" fillId="0" borderId="5" xfId="0" applyFont="1" applyBorder="1"/>
    <xf numFmtId="0" fontId="18" fillId="0" borderId="5" xfId="1" applyFont="1" applyBorder="1" applyAlignment="1">
      <alignment vertical="center"/>
    </xf>
    <xf numFmtId="1" fontId="16" fillId="0" borderId="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/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0" xfId="0" applyNumberFormat="1" applyFont="1"/>
    <xf numFmtId="0" fontId="5" fillId="3" borderId="5" xfId="0" applyFont="1" applyFill="1" applyBorder="1"/>
    <xf numFmtId="0" fontId="5" fillId="0" borderId="0" xfId="0" applyFont="1" applyAlignment="1">
      <alignment horizontal="right" vertical="center"/>
    </xf>
    <xf numFmtId="164" fontId="0" fillId="0" borderId="0" xfId="0" applyNumberFormat="1"/>
    <xf numFmtId="0" fontId="19" fillId="0" borderId="0" xfId="0" applyFont="1"/>
    <xf numFmtId="0" fontId="21" fillId="0" borderId="0" xfId="0" applyFont="1"/>
    <xf numFmtId="0" fontId="20" fillId="0" borderId="0" xfId="0" applyFont="1"/>
    <xf numFmtId="0" fontId="21" fillId="0" borderId="1" xfId="0" applyFont="1" applyBorder="1"/>
    <xf numFmtId="0" fontId="19" fillId="0" borderId="1" xfId="0" applyFont="1" applyBorder="1"/>
    <xf numFmtId="0" fontId="18" fillId="0" borderId="1" xfId="1" applyFont="1" applyBorder="1" applyAlignment="1">
      <alignment vertical="center"/>
    </xf>
    <xf numFmtId="0" fontId="3" fillId="0" borderId="0" xfId="0" applyFont="1"/>
    <xf numFmtId="0" fontId="11" fillId="0" borderId="0" xfId="0" applyFont="1" applyAlignment="1">
      <alignment horizontal="left" vertical="center"/>
    </xf>
    <xf numFmtId="0" fontId="22" fillId="0" borderId="0" xfId="1" applyFont="1" applyBorder="1" applyAlignment="1">
      <alignment horizontal="left" vertical="center"/>
    </xf>
    <xf numFmtId="2" fontId="5" fillId="2" borderId="7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vertical="center" wrapText="1"/>
    </xf>
    <xf numFmtId="2" fontId="5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19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176213</xdr:rowOff>
    </xdr:from>
    <xdr:to>
      <xdr:col>0</xdr:col>
      <xdr:colOff>490538</xdr:colOff>
      <xdr:row>1</xdr:row>
      <xdr:rowOff>521266</xdr:rowOff>
    </xdr:to>
    <xdr:pic>
      <xdr:nvPicPr>
        <xdr:cNvPr id="2" name="Picture 1" descr="A picture containing text, tennis, racket&#10;&#10;Description automatically generated">
          <a:extLst>
            <a:ext uri="{FF2B5EF4-FFF2-40B4-BE49-F238E27FC236}">
              <a16:creationId xmlns:a16="http://schemas.microsoft.com/office/drawing/2014/main" id="{73D3A96C-17C0-4FF1-9F05-21A4C9B86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213"/>
          <a:ext cx="471488" cy="5260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66675</xdr:colOff>
      <xdr:row>48</xdr:row>
      <xdr:rowOff>4762</xdr:rowOff>
    </xdr:from>
    <xdr:to>
      <xdr:col>13</xdr:col>
      <xdr:colOff>971550</xdr:colOff>
      <xdr:row>49</xdr:row>
      <xdr:rowOff>157895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A50CC9-A25B-47F8-A787-75434A99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663" y="6777037"/>
          <a:ext cx="904875" cy="33410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38102</xdr:colOff>
      <xdr:row>51</xdr:row>
      <xdr:rowOff>14288</xdr:rowOff>
    </xdr:from>
    <xdr:to>
      <xdr:col>1</xdr:col>
      <xdr:colOff>633412</xdr:colOff>
      <xdr:row>52</xdr:row>
      <xdr:rowOff>387159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CC456E-57C4-FA6C-FD2D-BADF2363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5" y="7524751"/>
          <a:ext cx="595310" cy="68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anleafbrew.com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tel:9820557008" TargetMode="External"/><Relationship Id="rId1" Type="http://schemas.openxmlformats.org/officeDocument/2006/relationships/hyperlink" Target="http://www.beanleafbrew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eanleafbrew.com/" TargetMode="External"/><Relationship Id="rId4" Type="http://schemas.openxmlformats.org/officeDocument/2006/relationships/hyperlink" Target="http://www.beanleafbre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D64B-57C1-4BA9-8382-CFACCDC878EA}">
  <sheetPr>
    <pageSetUpPr fitToPage="1"/>
  </sheetPr>
  <dimension ref="A1:AE77"/>
  <sheetViews>
    <sheetView tabSelected="1" workbookViewId="0">
      <selection activeCell="O47" sqref="O47"/>
    </sheetView>
  </sheetViews>
  <sheetFormatPr defaultRowHeight="14.25" x14ac:dyDescent="0.45"/>
  <cols>
    <col min="1" max="1" width="7" customWidth="1"/>
    <col min="2" max="2" width="47.9296875" customWidth="1"/>
    <col min="3" max="3" width="7.9296875" customWidth="1"/>
    <col min="4" max="4" width="14.53125" hidden="1" customWidth="1"/>
    <col min="5" max="5" width="16.19921875" customWidth="1"/>
    <col min="6" max="6" width="5.53125" customWidth="1"/>
    <col min="7" max="7" width="7.19921875" customWidth="1"/>
    <col min="8" max="9" width="4.33203125" customWidth="1"/>
    <col min="10" max="10" width="5.19921875" customWidth="1"/>
    <col min="11" max="11" width="6.59765625" customWidth="1"/>
    <col min="12" max="12" width="6.9296875" customWidth="1"/>
    <col min="13" max="13" width="7.3984375" customWidth="1"/>
    <col min="14" max="14" width="15.59765625" customWidth="1"/>
    <col min="15" max="15" width="9.53125" customWidth="1"/>
  </cols>
  <sheetData>
    <row r="1" spans="1:17" x14ac:dyDescent="0.45">
      <c r="A1" s="7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</row>
    <row r="2" spans="1:17" ht="41.65" customHeight="1" x14ac:dyDescent="0.45">
      <c r="A2" s="76"/>
      <c r="B2" s="110" t="s">
        <v>2</v>
      </c>
      <c r="C2" s="111"/>
      <c r="D2" s="111"/>
      <c r="E2" s="111"/>
      <c r="F2" s="111"/>
      <c r="G2" s="111"/>
      <c r="H2" s="111"/>
      <c r="I2" s="111"/>
      <c r="J2" s="111"/>
      <c r="K2" s="111"/>
      <c r="L2" s="112"/>
      <c r="M2" s="112"/>
      <c r="N2" s="112"/>
      <c r="O2" s="113"/>
    </row>
    <row r="3" spans="1:17" ht="12.75" customHeight="1" x14ac:dyDescent="0.45">
      <c r="A3" s="76"/>
      <c r="B3" s="32"/>
      <c r="C3" s="86"/>
      <c r="D3" s="86"/>
      <c r="E3" s="86"/>
      <c r="F3" s="86"/>
      <c r="G3" s="86"/>
      <c r="H3" s="86"/>
      <c r="I3" s="86"/>
      <c r="J3" s="86"/>
      <c r="K3" s="86"/>
      <c r="L3" s="29" t="s">
        <v>4</v>
      </c>
      <c r="M3" s="27"/>
      <c r="N3" s="59"/>
      <c r="O3" s="33"/>
    </row>
    <row r="4" spans="1:17" ht="15.4" x14ac:dyDescent="0.45">
      <c r="A4" s="76"/>
      <c r="B4" s="44" t="s">
        <v>0</v>
      </c>
      <c r="C4" s="87"/>
      <c r="D4" s="87"/>
      <c r="E4" s="87"/>
      <c r="F4" s="88"/>
      <c r="G4" s="88"/>
      <c r="H4" s="88"/>
      <c r="I4" s="88"/>
      <c r="J4" s="88"/>
      <c r="K4" s="88"/>
      <c r="L4" s="28" t="s">
        <v>69</v>
      </c>
      <c r="M4" s="88"/>
      <c r="N4" s="2" t="s">
        <v>91</v>
      </c>
      <c r="O4" s="35" t="s">
        <v>4</v>
      </c>
    </row>
    <row r="5" spans="1:17" x14ac:dyDescent="0.45">
      <c r="A5" s="76"/>
      <c r="B5" s="72" t="s">
        <v>1</v>
      </c>
      <c r="C5" s="87"/>
      <c r="D5" s="87"/>
      <c r="E5" s="87"/>
      <c r="F5" s="88"/>
      <c r="G5" s="88"/>
      <c r="H5" s="88"/>
      <c r="I5" s="88"/>
      <c r="J5" s="88"/>
      <c r="K5" s="88"/>
      <c r="L5" s="5" t="s">
        <v>70</v>
      </c>
      <c r="M5" s="88"/>
      <c r="N5" s="89" t="s">
        <v>92</v>
      </c>
      <c r="O5" s="34"/>
    </row>
    <row r="6" spans="1:17" x14ac:dyDescent="0.45">
      <c r="A6" s="76"/>
      <c r="B6" s="72" t="s">
        <v>71</v>
      </c>
      <c r="C6" s="87"/>
      <c r="D6" s="87"/>
      <c r="E6" s="87"/>
      <c r="F6" s="88"/>
      <c r="G6" s="88"/>
      <c r="H6" s="88"/>
      <c r="I6" s="88"/>
      <c r="J6" s="88"/>
      <c r="K6" s="88"/>
      <c r="L6" s="30" t="s">
        <v>4</v>
      </c>
      <c r="M6" s="88"/>
      <c r="N6" s="2"/>
      <c r="O6" s="35"/>
    </row>
    <row r="7" spans="1:17" x14ac:dyDescent="0.45">
      <c r="A7" s="76"/>
      <c r="B7" s="82" t="s">
        <v>76</v>
      </c>
      <c r="C7" s="8"/>
      <c r="D7" s="8"/>
      <c r="E7" s="8"/>
      <c r="F7" s="88"/>
      <c r="G7" s="88"/>
      <c r="H7" s="88"/>
      <c r="I7" s="88"/>
      <c r="J7" s="88"/>
      <c r="K7" s="88"/>
      <c r="L7" s="30" t="s">
        <v>4</v>
      </c>
      <c r="M7" s="88"/>
      <c r="N7" s="2"/>
      <c r="O7" s="35"/>
    </row>
    <row r="8" spans="1:17" x14ac:dyDescent="0.45">
      <c r="A8" s="76"/>
      <c r="B8" s="82" t="s">
        <v>72</v>
      </c>
      <c r="C8" s="8"/>
      <c r="D8" s="8"/>
      <c r="E8" s="8"/>
      <c r="F8" s="88"/>
      <c r="G8" s="88"/>
      <c r="H8" s="88"/>
      <c r="I8" s="88"/>
      <c r="J8" s="88"/>
      <c r="K8" s="88"/>
      <c r="L8" s="30"/>
      <c r="M8" s="88"/>
      <c r="N8" s="2"/>
      <c r="O8" s="35"/>
    </row>
    <row r="9" spans="1:17" ht="23.25" x14ac:dyDescent="0.45">
      <c r="A9" s="76"/>
      <c r="B9" s="3" t="s">
        <v>3</v>
      </c>
      <c r="C9" s="90"/>
      <c r="D9" s="90"/>
      <c r="E9" s="90"/>
      <c r="F9" s="88"/>
      <c r="G9" s="88"/>
      <c r="H9" s="88"/>
      <c r="I9" s="88"/>
      <c r="J9" s="88"/>
      <c r="K9" s="88"/>
      <c r="L9" s="30" t="s">
        <v>4</v>
      </c>
      <c r="M9" s="88"/>
      <c r="N9" s="2"/>
      <c r="O9" s="35"/>
    </row>
    <row r="10" spans="1:17" x14ac:dyDescent="0.45">
      <c r="A10" s="6"/>
      <c r="B10" s="4"/>
      <c r="C10" s="9"/>
      <c r="D10" s="9"/>
      <c r="E10" s="9"/>
      <c r="F10" s="1"/>
      <c r="G10" s="1"/>
      <c r="H10" s="1"/>
      <c r="I10" s="1"/>
      <c r="J10" s="1"/>
      <c r="K10" s="1"/>
      <c r="L10" s="31" t="s">
        <v>4</v>
      </c>
      <c r="M10" s="1"/>
      <c r="N10" s="60" t="s">
        <v>4</v>
      </c>
      <c r="O10" s="36" t="s">
        <v>4</v>
      </c>
    </row>
    <row r="11" spans="1:17" x14ac:dyDescent="0.45">
      <c r="A11" s="74"/>
      <c r="B11" s="67" t="s">
        <v>67</v>
      </c>
      <c r="C11" s="70"/>
      <c r="D11" s="70"/>
      <c r="E11" s="70"/>
      <c r="F11" s="71"/>
      <c r="G11" s="71"/>
      <c r="H11" s="71"/>
      <c r="I11" s="71"/>
      <c r="J11" s="71"/>
      <c r="K11" s="71"/>
      <c r="L11" s="67" t="s">
        <v>68</v>
      </c>
      <c r="M11" s="70"/>
      <c r="N11" s="71"/>
      <c r="O11" s="75"/>
    </row>
    <row r="12" spans="1:17" x14ac:dyDescent="0.45">
      <c r="A12" s="76"/>
      <c r="B12" s="123" t="s">
        <v>88</v>
      </c>
      <c r="C12" s="79"/>
      <c r="D12" s="79"/>
      <c r="E12" s="79"/>
      <c r="F12" s="80"/>
      <c r="G12" s="80"/>
      <c r="H12" s="80"/>
      <c r="I12" s="80"/>
      <c r="J12" s="80"/>
      <c r="K12" s="80"/>
      <c r="L12" s="116" t="s">
        <v>87</v>
      </c>
      <c r="M12" s="117"/>
      <c r="N12" s="117"/>
      <c r="O12" s="118"/>
    </row>
    <row r="13" spans="1:17" ht="17.25" customHeight="1" x14ac:dyDescent="0.45">
      <c r="A13" s="76"/>
      <c r="B13" s="124"/>
      <c r="C13" s="79"/>
      <c r="D13" s="79"/>
      <c r="E13" s="79"/>
      <c r="F13" s="80"/>
      <c r="G13" s="80"/>
      <c r="H13" s="80"/>
      <c r="I13" s="80"/>
      <c r="J13" s="80"/>
      <c r="K13" s="80"/>
      <c r="L13" s="119"/>
      <c r="M13" s="117"/>
      <c r="N13" s="117"/>
      <c r="O13" s="118"/>
    </row>
    <row r="14" spans="1:17" x14ac:dyDescent="0.45">
      <c r="A14" s="76"/>
      <c r="B14" s="124"/>
      <c r="C14" s="79"/>
      <c r="D14" s="79"/>
      <c r="E14" s="79"/>
      <c r="F14" s="80"/>
      <c r="G14" s="80"/>
      <c r="H14" s="80"/>
      <c r="I14" s="80"/>
      <c r="J14" s="80"/>
      <c r="K14" s="80"/>
      <c r="L14" s="119"/>
      <c r="M14" s="117"/>
      <c r="N14" s="117"/>
      <c r="O14" s="118"/>
    </row>
    <row r="15" spans="1:17" x14ac:dyDescent="0.45">
      <c r="A15" s="76"/>
      <c r="B15" s="124"/>
      <c r="C15" s="79"/>
      <c r="D15" s="79"/>
      <c r="E15" s="79"/>
      <c r="F15" s="80"/>
      <c r="G15" s="80"/>
      <c r="H15" s="80"/>
      <c r="I15" s="80"/>
      <c r="J15" s="80"/>
      <c r="K15" s="80"/>
      <c r="L15" s="119"/>
      <c r="M15" s="117"/>
      <c r="N15" s="117"/>
      <c r="O15" s="118"/>
    </row>
    <row r="16" spans="1:17" x14ac:dyDescent="0.45">
      <c r="A16" s="81"/>
      <c r="B16" s="124"/>
      <c r="C16" s="79"/>
      <c r="D16" s="79"/>
      <c r="E16" s="79"/>
      <c r="F16" s="80"/>
      <c r="G16" s="80"/>
      <c r="H16" s="80"/>
      <c r="I16" s="80"/>
      <c r="J16" s="80"/>
      <c r="K16" s="83" t="s">
        <v>4</v>
      </c>
      <c r="L16" s="119"/>
      <c r="M16" s="117"/>
      <c r="N16" s="117"/>
      <c r="O16" s="118"/>
      <c r="Q16" t="s">
        <v>4</v>
      </c>
    </row>
    <row r="17" spans="1:20" x14ac:dyDescent="0.45">
      <c r="A17" s="81"/>
      <c r="B17" s="124"/>
      <c r="C17" s="79"/>
      <c r="D17" s="79"/>
      <c r="E17" s="79"/>
      <c r="F17" s="80"/>
      <c r="G17" s="80"/>
      <c r="H17" s="80"/>
      <c r="I17" s="80"/>
      <c r="J17" s="80"/>
      <c r="K17" s="83"/>
      <c r="L17" s="119"/>
      <c r="M17" s="117"/>
      <c r="N17" s="117"/>
      <c r="O17" s="118"/>
    </row>
    <row r="18" spans="1:20" x14ac:dyDescent="0.45">
      <c r="A18" s="81"/>
      <c r="B18" s="124"/>
      <c r="C18" s="79"/>
      <c r="D18" s="79"/>
      <c r="E18" s="79"/>
      <c r="F18" s="80"/>
      <c r="G18" s="80"/>
      <c r="H18" s="80"/>
      <c r="I18" s="80"/>
      <c r="J18" s="80"/>
      <c r="K18" s="83"/>
      <c r="L18" s="119"/>
      <c r="M18" s="117"/>
      <c r="N18" s="117"/>
      <c r="O18" s="118"/>
    </row>
    <row r="19" spans="1:20" ht="77.25" customHeight="1" x14ac:dyDescent="0.45">
      <c r="A19" s="6"/>
      <c r="B19" s="125"/>
      <c r="C19" s="77"/>
      <c r="D19" s="77"/>
      <c r="E19" s="77"/>
      <c r="F19" s="78"/>
      <c r="G19" s="78"/>
      <c r="H19" s="78"/>
      <c r="I19" s="78"/>
      <c r="J19" s="78"/>
      <c r="K19" s="78"/>
      <c r="L19" s="120"/>
      <c r="M19" s="121"/>
      <c r="N19" s="121"/>
      <c r="O19" s="122"/>
    </row>
    <row r="20" spans="1:20" ht="27.75" customHeight="1" x14ac:dyDescent="0.45">
      <c r="A20" s="62" t="s">
        <v>66</v>
      </c>
      <c r="B20" s="61"/>
      <c r="C20" s="61" t="s">
        <v>22</v>
      </c>
      <c r="D20" s="61" t="s">
        <v>14</v>
      </c>
      <c r="E20" s="61" t="s">
        <v>23</v>
      </c>
      <c r="F20" s="73" t="s">
        <v>25</v>
      </c>
      <c r="G20" s="68" t="s">
        <v>5</v>
      </c>
      <c r="H20" s="68" t="s">
        <v>78</v>
      </c>
      <c r="I20" s="68" t="s">
        <v>17</v>
      </c>
      <c r="J20" s="68" t="s">
        <v>18</v>
      </c>
      <c r="K20" s="68" t="s">
        <v>79</v>
      </c>
      <c r="L20" s="68" t="s">
        <v>80</v>
      </c>
      <c r="M20" s="68" t="s">
        <v>28</v>
      </c>
      <c r="N20" s="69" t="s">
        <v>27</v>
      </c>
      <c r="O20" s="69" t="s">
        <v>81</v>
      </c>
    </row>
    <row r="21" spans="1:20" ht="15.75" customHeight="1" x14ac:dyDescent="0.45">
      <c r="A21" s="91"/>
      <c r="B21" s="46" t="s">
        <v>86</v>
      </c>
      <c r="C21" s="16"/>
      <c r="D21" s="16"/>
      <c r="E21" s="16"/>
      <c r="F21" s="17"/>
      <c r="G21" s="18"/>
      <c r="H21" s="18"/>
      <c r="I21" s="18"/>
      <c r="J21" s="18"/>
      <c r="K21" s="18" t="s">
        <v>4</v>
      </c>
      <c r="L21" s="18" t="s">
        <v>4</v>
      </c>
      <c r="M21" s="18" t="s">
        <v>4</v>
      </c>
      <c r="N21" s="19"/>
      <c r="O21" s="20"/>
    </row>
    <row r="22" spans="1:20" ht="25.05" hidden="1" customHeight="1" x14ac:dyDescent="0.45">
      <c r="A22" s="47">
        <v>1</v>
      </c>
      <c r="B22" s="46" t="s">
        <v>31</v>
      </c>
      <c r="C22" s="47" t="s">
        <v>24</v>
      </c>
      <c r="D22" s="46"/>
      <c r="E22" s="48" t="s">
        <v>40</v>
      </c>
      <c r="F22" s="49">
        <v>0</v>
      </c>
      <c r="G22" s="49">
        <v>398</v>
      </c>
      <c r="H22" s="49">
        <v>0</v>
      </c>
      <c r="I22" s="49">
        <v>0</v>
      </c>
      <c r="J22" s="49">
        <v>0</v>
      </c>
      <c r="K22" s="50">
        <f>(N22*H22/100)*F22</f>
        <v>0</v>
      </c>
      <c r="L22" s="50">
        <f>(N22*I22/100)*F22</f>
        <v>0</v>
      </c>
      <c r="M22" s="50">
        <f t="shared" ref="M22:M25" si="0">((N22*J22)/100)*F22</f>
        <v>0</v>
      </c>
      <c r="N22" s="51">
        <f>((G22)/((H22+I22+J22)/(100)+1))</f>
        <v>398</v>
      </c>
      <c r="O22" s="51">
        <f>N22*F22</f>
        <v>0</v>
      </c>
      <c r="R22" s="22"/>
    </row>
    <row r="23" spans="1:20" ht="25.05" hidden="1" customHeight="1" x14ac:dyDescent="0.45">
      <c r="A23" s="47">
        <v>1</v>
      </c>
      <c r="B23" s="46" t="s">
        <v>82</v>
      </c>
      <c r="C23" s="47" t="s">
        <v>24</v>
      </c>
      <c r="D23" s="46"/>
      <c r="E23" s="48" t="s">
        <v>84</v>
      </c>
      <c r="F23" s="107">
        <v>0</v>
      </c>
      <c r="G23" s="107">
        <v>387</v>
      </c>
      <c r="H23" s="107">
        <v>0</v>
      </c>
      <c r="I23" s="107">
        <v>0</v>
      </c>
      <c r="J23" s="107">
        <v>5</v>
      </c>
      <c r="K23" s="108">
        <f t="shared" ref="K23:K24" si="1">(N23*H23/100)*F23</f>
        <v>0</v>
      </c>
      <c r="L23" s="108">
        <f t="shared" ref="L23:L24" si="2">(N23*I23/100)*F23</f>
        <v>0</v>
      </c>
      <c r="M23" s="108">
        <f t="shared" ref="M23:M24" si="3">((N23*J23)/100)*F23</f>
        <v>0</v>
      </c>
      <c r="N23" s="109">
        <f t="shared" ref="N23:N24" si="4">((G23)/((H23+I23+J23)/(100)+1))</f>
        <v>368.57142857142856</v>
      </c>
      <c r="O23" s="109">
        <f t="shared" ref="O23:O24" si="5">N23*F23</f>
        <v>0</v>
      </c>
      <c r="R23" s="22"/>
    </row>
    <row r="24" spans="1:20" ht="25.05" hidden="1" customHeight="1" x14ac:dyDescent="0.45">
      <c r="A24" s="47">
        <v>3</v>
      </c>
      <c r="B24" s="46" t="s">
        <v>83</v>
      </c>
      <c r="C24" s="47" t="s">
        <v>24</v>
      </c>
      <c r="D24" s="46"/>
      <c r="E24" s="48" t="s">
        <v>85</v>
      </c>
      <c r="F24" s="107">
        <v>0</v>
      </c>
      <c r="G24" s="107">
        <v>398</v>
      </c>
      <c r="H24" s="107">
        <v>0</v>
      </c>
      <c r="I24" s="107">
        <v>0</v>
      </c>
      <c r="J24" s="107">
        <v>0</v>
      </c>
      <c r="K24" s="108">
        <f t="shared" si="1"/>
        <v>0</v>
      </c>
      <c r="L24" s="108">
        <f t="shared" si="2"/>
        <v>0</v>
      </c>
      <c r="M24" s="108">
        <f t="shared" si="3"/>
        <v>0</v>
      </c>
      <c r="N24" s="109">
        <f t="shared" si="4"/>
        <v>398</v>
      </c>
      <c r="O24" s="109">
        <f t="shared" si="5"/>
        <v>0</v>
      </c>
      <c r="R24" s="22"/>
    </row>
    <row r="25" spans="1:20" ht="25.05" hidden="1" customHeight="1" x14ac:dyDescent="0.45">
      <c r="A25" s="47">
        <v>4</v>
      </c>
      <c r="B25" s="46" t="s">
        <v>32</v>
      </c>
      <c r="C25" s="47" t="s">
        <v>24</v>
      </c>
      <c r="D25" s="46"/>
      <c r="E25" s="48" t="s">
        <v>57</v>
      </c>
      <c r="F25" s="107">
        <v>0</v>
      </c>
      <c r="G25" s="107">
        <v>418</v>
      </c>
      <c r="H25" s="107">
        <v>0</v>
      </c>
      <c r="I25" s="107">
        <v>0</v>
      </c>
      <c r="J25" s="107">
        <v>0</v>
      </c>
      <c r="K25" s="108">
        <f t="shared" ref="K25:K29" si="6">(N25*H25/100)*F25</f>
        <v>0</v>
      </c>
      <c r="L25" s="108">
        <f t="shared" ref="L25:L29" si="7">(N25*I25/100)*F25</f>
        <v>0</v>
      </c>
      <c r="M25" s="108">
        <f t="shared" si="0"/>
        <v>0</v>
      </c>
      <c r="N25" s="109">
        <f t="shared" ref="N25:N44" si="8">((G25)/((H25+I25+J25)/(100)+1))</f>
        <v>418</v>
      </c>
      <c r="O25" s="109">
        <f t="shared" ref="O25:O29" si="9">N25*F25</f>
        <v>0</v>
      </c>
      <c r="R25" s="22"/>
    </row>
    <row r="26" spans="1:20" ht="25.05" customHeight="1" x14ac:dyDescent="0.45">
      <c r="A26" s="47">
        <v>1</v>
      </c>
      <c r="B26" s="46" t="s">
        <v>89</v>
      </c>
      <c r="C26" s="47" t="s">
        <v>24</v>
      </c>
      <c r="D26" s="46"/>
      <c r="E26" s="48" t="s">
        <v>58</v>
      </c>
      <c r="F26" s="107">
        <v>3</v>
      </c>
      <c r="G26" s="107">
        <v>360</v>
      </c>
      <c r="H26" s="107">
        <v>0</v>
      </c>
      <c r="I26" s="107">
        <v>0</v>
      </c>
      <c r="J26" s="107">
        <v>5</v>
      </c>
      <c r="K26" s="108">
        <f t="shared" si="6"/>
        <v>0</v>
      </c>
      <c r="L26" s="108">
        <f t="shared" si="7"/>
        <v>0</v>
      </c>
      <c r="M26" s="108">
        <f>((N26*J26)/100)*F26</f>
        <v>51.428571428571431</v>
      </c>
      <c r="N26" s="109">
        <f t="shared" si="8"/>
        <v>342.85714285714283</v>
      </c>
      <c r="O26" s="109">
        <f t="shared" si="9"/>
        <v>1028.5714285714284</v>
      </c>
      <c r="R26" s="22"/>
    </row>
    <row r="27" spans="1:20" ht="25.05" hidden="1" customHeight="1" x14ac:dyDescent="0.45">
      <c r="A27" s="47">
        <v>6</v>
      </c>
      <c r="B27" s="46" t="s">
        <v>34</v>
      </c>
      <c r="C27" s="47" t="s">
        <v>24</v>
      </c>
      <c r="D27" s="46"/>
      <c r="E27" s="48" t="s">
        <v>59</v>
      </c>
      <c r="F27" s="49">
        <v>0</v>
      </c>
      <c r="G27" s="49">
        <v>398</v>
      </c>
      <c r="H27" s="49">
        <v>0</v>
      </c>
      <c r="I27" s="49">
        <v>0</v>
      </c>
      <c r="J27" s="49">
        <v>0</v>
      </c>
      <c r="K27" s="50">
        <f t="shared" si="6"/>
        <v>0</v>
      </c>
      <c r="L27" s="50">
        <f t="shared" si="7"/>
        <v>0</v>
      </c>
      <c r="M27" s="50">
        <f t="shared" ref="M27:M43" si="10">((N27*J27)/100)*F27</f>
        <v>0</v>
      </c>
      <c r="N27" s="51">
        <f t="shared" si="8"/>
        <v>398</v>
      </c>
      <c r="O27" s="51">
        <f t="shared" si="9"/>
        <v>0</v>
      </c>
      <c r="R27" s="22"/>
    </row>
    <row r="28" spans="1:20" ht="25.05" hidden="1" customHeight="1" x14ac:dyDescent="0.45">
      <c r="A28" s="47">
        <v>7</v>
      </c>
      <c r="B28" s="46" t="s">
        <v>35</v>
      </c>
      <c r="C28" s="47" t="s">
        <v>24</v>
      </c>
      <c r="D28" s="46"/>
      <c r="E28" s="48" t="s">
        <v>60</v>
      </c>
      <c r="F28" s="49">
        <v>0</v>
      </c>
      <c r="G28" s="49">
        <v>360</v>
      </c>
      <c r="H28" s="49">
        <v>0</v>
      </c>
      <c r="I28" s="49">
        <v>0</v>
      </c>
      <c r="J28" s="49">
        <v>5</v>
      </c>
      <c r="K28" s="50">
        <f t="shared" si="6"/>
        <v>0</v>
      </c>
      <c r="L28" s="50">
        <f t="shared" si="7"/>
        <v>0</v>
      </c>
      <c r="M28" s="50">
        <f t="shared" si="10"/>
        <v>0</v>
      </c>
      <c r="N28" s="51">
        <f t="shared" si="8"/>
        <v>342.85714285714283</v>
      </c>
      <c r="O28" s="51">
        <f t="shared" si="9"/>
        <v>0</v>
      </c>
      <c r="R28" s="22"/>
    </row>
    <row r="29" spans="1:20" ht="25.05" hidden="1" customHeight="1" x14ac:dyDescent="0.45">
      <c r="A29" s="47">
        <v>8</v>
      </c>
      <c r="B29" s="46" t="s">
        <v>51</v>
      </c>
      <c r="C29" s="47" t="s">
        <v>24</v>
      </c>
      <c r="D29" s="46"/>
      <c r="E29" s="48" t="s">
        <v>61</v>
      </c>
      <c r="F29" s="49">
        <v>0</v>
      </c>
      <c r="G29" s="49">
        <v>286</v>
      </c>
      <c r="H29" s="49">
        <v>0</v>
      </c>
      <c r="I29" s="49">
        <v>0</v>
      </c>
      <c r="J29" s="49">
        <v>0</v>
      </c>
      <c r="K29" s="50">
        <f t="shared" si="6"/>
        <v>0</v>
      </c>
      <c r="L29" s="50">
        <f t="shared" si="7"/>
        <v>0</v>
      </c>
      <c r="M29" s="50">
        <f t="shared" si="10"/>
        <v>0</v>
      </c>
      <c r="N29" s="51">
        <f t="shared" si="8"/>
        <v>286</v>
      </c>
      <c r="O29" s="51">
        <f t="shared" si="9"/>
        <v>0</v>
      </c>
      <c r="R29" s="22"/>
    </row>
    <row r="30" spans="1:20" ht="25.05" hidden="1" customHeight="1" x14ac:dyDescent="0.45">
      <c r="A30" s="47">
        <v>9</v>
      </c>
      <c r="B30" s="46" t="s">
        <v>32</v>
      </c>
      <c r="C30" s="47" t="s">
        <v>15</v>
      </c>
      <c r="D30" s="46" t="s">
        <v>10</v>
      </c>
      <c r="E30" s="48" t="s">
        <v>41</v>
      </c>
      <c r="F30" s="49">
        <v>0</v>
      </c>
      <c r="G30" s="49">
        <v>205</v>
      </c>
      <c r="H30" s="49">
        <v>0</v>
      </c>
      <c r="I30" s="49">
        <v>0</v>
      </c>
      <c r="J30" s="49">
        <v>0</v>
      </c>
      <c r="K30" s="50">
        <f>(N30*H30/100)*F30</f>
        <v>0</v>
      </c>
      <c r="L30" s="50">
        <f>(N30*I30/100)*F30</f>
        <v>0</v>
      </c>
      <c r="M30" s="50">
        <f t="shared" si="10"/>
        <v>0</v>
      </c>
      <c r="N30" s="51">
        <f t="shared" si="8"/>
        <v>205</v>
      </c>
      <c r="O30" s="51">
        <f>N30*F30</f>
        <v>0</v>
      </c>
      <c r="S30" t="s">
        <v>4</v>
      </c>
      <c r="T30" t="s">
        <v>4</v>
      </c>
    </row>
    <row r="31" spans="1:20" ht="25.05" hidden="1" customHeight="1" x14ac:dyDescent="0.45">
      <c r="A31" s="47">
        <v>10</v>
      </c>
      <c r="B31" s="46" t="s">
        <v>33</v>
      </c>
      <c r="C31" s="47" t="s">
        <v>15</v>
      </c>
      <c r="D31" s="46" t="s">
        <v>11</v>
      </c>
      <c r="E31" s="48" t="s">
        <v>42</v>
      </c>
      <c r="F31" s="49">
        <v>0</v>
      </c>
      <c r="G31" s="49">
        <v>198</v>
      </c>
      <c r="H31" s="49">
        <v>0</v>
      </c>
      <c r="I31" s="49">
        <v>0</v>
      </c>
      <c r="J31" s="49">
        <v>0</v>
      </c>
      <c r="K31" s="50">
        <f>(N31*H31/100)*F31</f>
        <v>0</v>
      </c>
      <c r="L31" s="50">
        <f>(N31*I31/100)*F31</f>
        <v>0</v>
      </c>
      <c r="M31" s="50">
        <f t="shared" si="10"/>
        <v>0</v>
      </c>
      <c r="N31" s="51">
        <f t="shared" si="8"/>
        <v>198</v>
      </c>
      <c r="O31" s="51">
        <f>N31*F31</f>
        <v>0</v>
      </c>
    </row>
    <row r="32" spans="1:20" ht="25.05" hidden="1" customHeight="1" x14ac:dyDescent="0.45">
      <c r="A32" s="47">
        <v>11</v>
      </c>
      <c r="B32" s="46" t="s">
        <v>34</v>
      </c>
      <c r="C32" s="47" t="s">
        <v>15</v>
      </c>
      <c r="D32" s="46" t="s">
        <v>12</v>
      </c>
      <c r="E32" s="48" t="s">
        <v>43</v>
      </c>
      <c r="F32" s="49">
        <v>0</v>
      </c>
      <c r="G32" s="49">
        <v>198</v>
      </c>
      <c r="H32" s="49">
        <v>0</v>
      </c>
      <c r="I32" s="49">
        <v>0</v>
      </c>
      <c r="J32" s="49">
        <v>0</v>
      </c>
      <c r="K32" s="50">
        <f>(N32*H32/100)*F32</f>
        <v>0</v>
      </c>
      <c r="L32" s="50">
        <f>(N32*I32/100)*F32</f>
        <v>0</v>
      </c>
      <c r="M32" s="50">
        <f t="shared" si="10"/>
        <v>0</v>
      </c>
      <c r="N32" s="51">
        <f t="shared" si="8"/>
        <v>198</v>
      </c>
      <c r="O32" s="51">
        <f>N32*F32</f>
        <v>0</v>
      </c>
      <c r="P32" s="2" t="s">
        <v>4</v>
      </c>
    </row>
    <row r="33" spans="1:31" ht="25.05" hidden="1" customHeight="1" x14ac:dyDescent="0.45">
      <c r="A33" s="47">
        <v>12</v>
      </c>
      <c r="B33" s="46" t="s">
        <v>35</v>
      </c>
      <c r="C33" s="47" t="s">
        <v>15</v>
      </c>
      <c r="D33" s="46" t="s">
        <v>13</v>
      </c>
      <c r="E33" s="48" t="s">
        <v>44</v>
      </c>
      <c r="F33" s="49">
        <v>0</v>
      </c>
      <c r="G33" s="49">
        <v>138</v>
      </c>
      <c r="H33" s="49">
        <v>0</v>
      </c>
      <c r="I33" s="49">
        <v>0</v>
      </c>
      <c r="J33" s="49">
        <v>0</v>
      </c>
      <c r="K33" s="50">
        <f>(N33*H33/100)*F33</f>
        <v>0</v>
      </c>
      <c r="L33" s="50">
        <f>(N33*I33/100)*F33</f>
        <v>0</v>
      </c>
      <c r="M33" s="50">
        <f t="shared" si="10"/>
        <v>0</v>
      </c>
      <c r="N33" s="51">
        <f t="shared" si="8"/>
        <v>138</v>
      </c>
      <c r="O33" s="51">
        <f>N33*F33</f>
        <v>0</v>
      </c>
      <c r="P33" s="2"/>
    </row>
    <row r="34" spans="1:31" ht="25.05" hidden="1" customHeight="1" x14ac:dyDescent="0.45">
      <c r="A34" s="47">
        <v>13</v>
      </c>
      <c r="B34" s="46" t="s">
        <v>51</v>
      </c>
      <c r="C34" s="47" t="s">
        <v>52</v>
      </c>
      <c r="D34" s="46"/>
      <c r="E34" s="48" t="s">
        <v>62</v>
      </c>
      <c r="F34" s="49">
        <v>0</v>
      </c>
      <c r="G34" s="49">
        <v>145</v>
      </c>
      <c r="H34" s="49">
        <v>5</v>
      </c>
      <c r="I34" s="49">
        <v>5</v>
      </c>
      <c r="J34" s="49">
        <v>0</v>
      </c>
      <c r="K34" s="50">
        <f t="shared" ref="K34" si="11">(N34*H34/100)*F34</f>
        <v>0</v>
      </c>
      <c r="L34" s="50">
        <f t="shared" ref="L34" si="12">(N34*I34/100)*F34</f>
        <v>0</v>
      </c>
      <c r="M34" s="50">
        <f t="shared" si="10"/>
        <v>0</v>
      </c>
      <c r="N34" s="51">
        <f t="shared" si="8"/>
        <v>131.81818181818181</v>
      </c>
      <c r="O34" s="51">
        <f t="shared" ref="O34" si="13">N34*F34</f>
        <v>0</v>
      </c>
      <c r="P34" s="2"/>
    </row>
    <row r="35" spans="1:31" ht="13.5" customHeight="1" x14ac:dyDescent="0.45">
      <c r="A35" s="62"/>
      <c r="B35" s="61" t="s">
        <v>26</v>
      </c>
      <c r="C35" s="62"/>
      <c r="D35" s="61"/>
      <c r="E35" s="63"/>
      <c r="F35" s="64"/>
      <c r="G35" s="64"/>
      <c r="H35" s="64"/>
      <c r="I35" s="64"/>
      <c r="J35" s="64"/>
      <c r="K35" s="65"/>
      <c r="L35" s="65"/>
      <c r="M35" s="65" t="s">
        <v>4</v>
      </c>
      <c r="N35" s="106" t="s">
        <v>4</v>
      </c>
      <c r="O35" s="66"/>
      <c r="P35" s="2"/>
    </row>
    <row r="36" spans="1:31" ht="25.05" hidden="1" customHeight="1" x14ac:dyDescent="0.45">
      <c r="A36" s="39">
        <v>1</v>
      </c>
      <c r="B36" s="46" t="s">
        <v>36</v>
      </c>
      <c r="C36" s="47" t="s">
        <v>16</v>
      </c>
      <c r="D36" s="46" t="s">
        <v>7</v>
      </c>
      <c r="E36" s="48" t="s">
        <v>45</v>
      </c>
      <c r="F36" s="49">
        <v>0</v>
      </c>
      <c r="G36" s="49">
        <v>378</v>
      </c>
      <c r="H36" s="49">
        <v>0</v>
      </c>
      <c r="I36" s="49">
        <v>0</v>
      </c>
      <c r="J36" s="49">
        <v>0</v>
      </c>
      <c r="K36" s="50">
        <f>(N36*H36/100)*F36</f>
        <v>0</v>
      </c>
      <c r="L36" s="50">
        <f>(N36*I36/100)*F36</f>
        <v>0</v>
      </c>
      <c r="M36" s="50">
        <f t="shared" si="10"/>
        <v>0</v>
      </c>
      <c r="N36" s="51">
        <f t="shared" si="8"/>
        <v>378</v>
      </c>
      <c r="O36" s="51">
        <f>N36*F36</f>
        <v>0</v>
      </c>
      <c r="P36" s="2"/>
    </row>
    <row r="37" spans="1:31" ht="25.05" hidden="1" customHeight="1" x14ac:dyDescent="0.45">
      <c r="A37" s="39">
        <v>2</v>
      </c>
      <c r="B37" s="46" t="s">
        <v>53</v>
      </c>
      <c r="C37" s="47" t="s">
        <v>56</v>
      </c>
      <c r="D37" s="46"/>
      <c r="E37" s="48" t="s">
        <v>63</v>
      </c>
      <c r="F37" s="49">
        <v>0</v>
      </c>
      <c r="G37" s="49">
        <v>378</v>
      </c>
      <c r="H37" s="49">
        <v>0</v>
      </c>
      <c r="I37" s="49">
        <v>0</v>
      </c>
      <c r="J37" s="49">
        <v>0</v>
      </c>
      <c r="K37" s="50">
        <f t="shared" ref="K37" si="14">(N37*H37/100)*F37</f>
        <v>0</v>
      </c>
      <c r="L37" s="50">
        <f t="shared" ref="L37" si="15">(N37*I37/100)*F37</f>
        <v>0</v>
      </c>
      <c r="M37" s="50">
        <f t="shared" si="10"/>
        <v>0</v>
      </c>
      <c r="N37" s="51">
        <f t="shared" si="8"/>
        <v>378</v>
      </c>
      <c r="O37" s="51">
        <f t="shared" ref="O37" si="16">N37*F37</f>
        <v>0</v>
      </c>
      <c r="P37" s="2"/>
    </row>
    <row r="38" spans="1:31" ht="25.05" hidden="1" customHeight="1" x14ac:dyDescent="0.45">
      <c r="A38" s="39">
        <v>3</v>
      </c>
      <c r="B38" s="46" t="s">
        <v>37</v>
      </c>
      <c r="C38" s="47" t="s">
        <v>16</v>
      </c>
      <c r="D38" s="46" t="s">
        <v>8</v>
      </c>
      <c r="E38" s="48" t="s">
        <v>46</v>
      </c>
      <c r="F38" s="49">
        <v>0</v>
      </c>
      <c r="G38" s="49">
        <v>378</v>
      </c>
      <c r="H38" s="49">
        <v>0</v>
      </c>
      <c r="I38" s="49">
        <v>0</v>
      </c>
      <c r="J38" s="49">
        <v>0</v>
      </c>
      <c r="K38" s="50">
        <f>(N38*H38/100)*F38</f>
        <v>0</v>
      </c>
      <c r="L38" s="50">
        <f>(N38*I38/100)*F38</f>
        <v>0</v>
      </c>
      <c r="M38" s="50">
        <f t="shared" si="10"/>
        <v>0</v>
      </c>
      <c r="N38" s="51">
        <f t="shared" si="8"/>
        <v>378</v>
      </c>
      <c r="O38" s="51">
        <f>N38*F38</f>
        <v>0</v>
      </c>
      <c r="P38" s="2"/>
      <c r="Q38" s="37"/>
      <c r="R38" s="38"/>
      <c r="S38" s="39"/>
      <c r="T38" s="4"/>
      <c r="U38" s="40"/>
      <c r="V38" s="41"/>
      <c r="W38" s="41"/>
      <c r="X38" s="41"/>
      <c r="Y38" s="41"/>
      <c r="Z38" s="41"/>
      <c r="AA38" s="42"/>
      <c r="AB38" s="42"/>
      <c r="AC38" s="42"/>
      <c r="AD38" s="43"/>
      <c r="AE38" s="43"/>
    </row>
    <row r="39" spans="1:31" ht="25.05" hidden="1" customHeight="1" x14ac:dyDescent="0.45">
      <c r="A39" s="39">
        <v>4</v>
      </c>
      <c r="B39" s="46" t="s">
        <v>54</v>
      </c>
      <c r="C39" s="47" t="s">
        <v>56</v>
      </c>
      <c r="D39" s="46"/>
      <c r="E39" s="48" t="s">
        <v>64</v>
      </c>
      <c r="F39" s="49">
        <v>0</v>
      </c>
      <c r="G39" s="49">
        <v>378</v>
      </c>
      <c r="H39" s="49">
        <v>0</v>
      </c>
      <c r="I39" s="49">
        <v>0</v>
      </c>
      <c r="J39" s="49">
        <v>0</v>
      </c>
      <c r="K39" s="50">
        <f t="shared" ref="K39" si="17">(N39*H39/100)*F39</f>
        <v>0</v>
      </c>
      <c r="L39" s="50">
        <f t="shared" ref="L39" si="18">(N39*I39/100)*F39</f>
        <v>0</v>
      </c>
      <c r="M39" s="50">
        <f t="shared" si="10"/>
        <v>0</v>
      </c>
      <c r="N39" s="51">
        <f t="shared" si="8"/>
        <v>378</v>
      </c>
      <c r="O39" s="51">
        <f t="shared" ref="O39" si="19">N39*F39</f>
        <v>0</v>
      </c>
      <c r="P39" s="2"/>
      <c r="Q39" s="52"/>
      <c r="R39" s="53"/>
      <c r="S39" s="52"/>
      <c r="T39" s="54"/>
      <c r="U39" s="55"/>
      <c r="V39" s="56"/>
      <c r="W39" s="56"/>
      <c r="X39" s="56"/>
      <c r="Y39" s="56"/>
      <c r="Z39" s="56"/>
      <c r="AA39" s="57"/>
      <c r="AB39" s="57"/>
      <c r="AC39" s="57"/>
      <c r="AD39" s="58"/>
      <c r="AE39" s="58"/>
    </row>
    <row r="40" spans="1:31" ht="25.05" hidden="1" customHeight="1" x14ac:dyDescent="0.45">
      <c r="A40" s="39">
        <v>4</v>
      </c>
      <c r="B40" s="46" t="s">
        <v>38</v>
      </c>
      <c r="C40" s="47" t="s">
        <v>56</v>
      </c>
      <c r="D40" s="46" t="s">
        <v>9</v>
      </c>
      <c r="E40" s="48" t="s">
        <v>47</v>
      </c>
      <c r="F40" s="49">
        <v>0</v>
      </c>
      <c r="G40" s="49">
        <v>468</v>
      </c>
      <c r="H40" s="49">
        <v>0</v>
      </c>
      <c r="I40" s="49">
        <v>0</v>
      </c>
      <c r="J40" s="49">
        <v>0</v>
      </c>
      <c r="K40" s="50">
        <f>(N40*H40/100)*F40</f>
        <v>0</v>
      </c>
      <c r="L40" s="50">
        <f>(N40*I40/100)*F40</f>
        <v>0</v>
      </c>
      <c r="M40" s="50">
        <f t="shared" si="10"/>
        <v>0</v>
      </c>
      <c r="N40" s="51">
        <f t="shared" si="8"/>
        <v>468</v>
      </c>
      <c r="O40" s="51">
        <f>N40*F40</f>
        <v>0</v>
      </c>
      <c r="P40" s="2"/>
    </row>
    <row r="41" spans="1:31" ht="25.05" hidden="1" customHeight="1" x14ac:dyDescent="0.45">
      <c r="A41" s="39">
        <v>6</v>
      </c>
      <c r="B41" s="46" t="s">
        <v>55</v>
      </c>
      <c r="C41" s="47" t="s">
        <v>56</v>
      </c>
      <c r="D41" s="46"/>
      <c r="E41" s="48" t="s">
        <v>65</v>
      </c>
      <c r="F41" s="49">
        <v>0</v>
      </c>
      <c r="G41" s="49">
        <v>378</v>
      </c>
      <c r="H41" s="49">
        <v>0</v>
      </c>
      <c r="I41" s="49">
        <v>0</v>
      </c>
      <c r="J41" s="49">
        <v>0</v>
      </c>
      <c r="K41" s="50">
        <f t="shared" ref="K41" si="20">(N41*H41/100)*F41</f>
        <v>0</v>
      </c>
      <c r="L41" s="50">
        <f t="shared" ref="L41" si="21">(N41*I41/100)*F41</f>
        <v>0</v>
      </c>
      <c r="M41" s="50">
        <f t="shared" si="10"/>
        <v>0</v>
      </c>
      <c r="N41" s="51">
        <f t="shared" si="8"/>
        <v>378</v>
      </c>
      <c r="O41" s="51">
        <f t="shared" ref="O41" si="22">N41*F41</f>
        <v>0</v>
      </c>
      <c r="P41" s="2"/>
    </row>
    <row r="42" spans="1:31" ht="25.05" hidden="1" customHeight="1" x14ac:dyDescent="0.45">
      <c r="A42" s="39">
        <v>7</v>
      </c>
      <c r="B42" s="46" t="s">
        <v>19</v>
      </c>
      <c r="C42" s="47" t="s">
        <v>21</v>
      </c>
      <c r="D42" s="46"/>
      <c r="E42" s="48" t="s">
        <v>48</v>
      </c>
      <c r="F42" s="49">
        <v>0</v>
      </c>
      <c r="G42" s="49">
        <v>378</v>
      </c>
      <c r="H42" s="49">
        <v>0</v>
      </c>
      <c r="I42" s="49">
        <v>0</v>
      </c>
      <c r="J42" s="49">
        <v>0</v>
      </c>
      <c r="K42" s="50">
        <f>(N42*H42/100)*F42</f>
        <v>0</v>
      </c>
      <c r="L42" s="50">
        <f>(N42*I42/100)*F42</f>
        <v>0</v>
      </c>
      <c r="M42" s="50">
        <f t="shared" si="10"/>
        <v>0</v>
      </c>
      <c r="N42" s="51">
        <f t="shared" si="8"/>
        <v>378</v>
      </c>
      <c r="O42" s="51">
        <f>N42*F42</f>
        <v>0</v>
      </c>
      <c r="P42" s="2" t="s">
        <v>4</v>
      </c>
    </row>
    <row r="43" spans="1:31" ht="25.05" hidden="1" customHeight="1" x14ac:dyDescent="0.45">
      <c r="A43" s="39">
        <v>1</v>
      </c>
      <c r="B43" s="46" t="s">
        <v>20</v>
      </c>
      <c r="C43" s="47" t="s">
        <v>21</v>
      </c>
      <c r="D43" s="46"/>
      <c r="E43" s="48" t="s">
        <v>49</v>
      </c>
      <c r="F43" s="107">
        <v>0</v>
      </c>
      <c r="G43" s="107">
        <v>324</v>
      </c>
      <c r="H43" s="107">
        <v>0</v>
      </c>
      <c r="I43" s="107">
        <v>0</v>
      </c>
      <c r="J43" s="107">
        <v>0</v>
      </c>
      <c r="K43" s="108">
        <f>(N43*H43/100)*F43</f>
        <v>0</v>
      </c>
      <c r="L43" s="108">
        <f>(N43*I43/100)*F43</f>
        <v>0</v>
      </c>
      <c r="M43" s="108">
        <f t="shared" si="10"/>
        <v>0</v>
      </c>
      <c r="N43" s="109">
        <f t="shared" si="8"/>
        <v>324</v>
      </c>
      <c r="O43" s="109">
        <f>N43*F43</f>
        <v>0</v>
      </c>
      <c r="P43" s="2" t="s">
        <v>4</v>
      </c>
    </row>
    <row r="44" spans="1:31" ht="20.65" customHeight="1" x14ac:dyDescent="0.45">
      <c r="A44" s="92"/>
      <c r="B44" s="4" t="s">
        <v>4</v>
      </c>
      <c r="C44" s="9"/>
      <c r="D44" s="9"/>
      <c r="E44" s="9"/>
      <c r="F44" s="21">
        <f>SUM(F22:F37)</f>
        <v>3</v>
      </c>
      <c r="G44" s="25"/>
      <c r="H44" s="25"/>
      <c r="I44" s="25"/>
      <c r="J44" s="25"/>
      <c r="K44" s="26">
        <f>SUM(K22:K43)</f>
        <v>0</v>
      </c>
      <c r="L44" s="26">
        <f>SUM(L22:L43)</f>
        <v>0</v>
      </c>
      <c r="M44" s="26">
        <f>SUM(M22:M43)</f>
        <v>51.428571428571431</v>
      </c>
      <c r="N44" s="51">
        <f t="shared" si="8"/>
        <v>0</v>
      </c>
      <c r="O44" s="26" t="s">
        <v>4</v>
      </c>
      <c r="P44" s="2"/>
    </row>
    <row r="45" spans="1:31" ht="14.65" x14ac:dyDescent="0.45">
      <c r="A45" s="30"/>
      <c r="B45" s="45" t="s">
        <v>29</v>
      </c>
      <c r="C45" s="79"/>
      <c r="D45" s="79"/>
      <c r="E45" s="79"/>
      <c r="F45" s="2"/>
      <c r="G45" s="2"/>
      <c r="H45" s="2"/>
      <c r="I45" s="2"/>
      <c r="J45" s="2"/>
      <c r="K45" s="2"/>
      <c r="L45" s="2"/>
      <c r="M45" s="2"/>
      <c r="N45" s="93"/>
      <c r="O45" s="10">
        <f>SUM(O22:O43)</f>
        <v>1028.5714285714284</v>
      </c>
      <c r="P45" s="2"/>
    </row>
    <row r="46" spans="1:31" ht="14.65" x14ac:dyDescent="0.45">
      <c r="A46" s="30"/>
      <c r="B46" s="45" t="s">
        <v>39</v>
      </c>
      <c r="C46" s="79"/>
      <c r="D46" s="79"/>
      <c r="E46" s="79"/>
      <c r="F46" s="2"/>
      <c r="G46" s="2"/>
      <c r="H46" s="2"/>
      <c r="I46" s="2"/>
      <c r="J46" s="2"/>
      <c r="K46" s="2"/>
      <c r="L46" s="2"/>
      <c r="M46" s="2"/>
      <c r="N46" s="93"/>
      <c r="O46" s="10">
        <f>K44+L44+M44</f>
        <v>51.428571428571431</v>
      </c>
      <c r="P46" s="2"/>
    </row>
    <row r="47" spans="1:31" ht="14.65" x14ac:dyDescent="0.45">
      <c r="A47" s="94"/>
      <c r="B47" s="23" t="s">
        <v>30</v>
      </c>
      <c r="C47" s="114" t="s">
        <v>90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5"/>
      <c r="O47" s="24">
        <f>SUM(O45:O46)</f>
        <v>1079.9999999999998</v>
      </c>
      <c r="P47" s="2"/>
    </row>
    <row r="48" spans="1:31" x14ac:dyDescent="0.45">
      <c r="A48" s="30"/>
      <c r="B48" s="7"/>
      <c r="C48" s="95"/>
      <c r="D48" s="95"/>
      <c r="E48" s="95"/>
      <c r="F48" s="2"/>
      <c r="G48" s="2"/>
      <c r="H48" s="2"/>
      <c r="I48" s="2"/>
      <c r="J48" s="2"/>
      <c r="K48" s="2"/>
      <c r="L48" s="2"/>
      <c r="M48" s="2"/>
      <c r="N48" s="93"/>
      <c r="O48" s="11"/>
      <c r="P48" s="2"/>
    </row>
    <row r="49" spans="1:15" x14ac:dyDescent="0.45">
      <c r="A49" s="76"/>
      <c r="B49" s="5" t="s">
        <v>73</v>
      </c>
      <c r="C49" s="79"/>
      <c r="D49" s="79"/>
      <c r="E49" s="79"/>
      <c r="N49" s="96"/>
      <c r="O49" s="12"/>
    </row>
    <row r="50" spans="1:15" ht="29.65" customHeight="1" x14ac:dyDescent="0.45">
      <c r="A50" s="6"/>
      <c r="B50" s="4" t="s">
        <v>6</v>
      </c>
      <c r="C50" s="9"/>
      <c r="D50" s="9"/>
      <c r="E50" s="9"/>
      <c r="F50" s="13"/>
      <c r="G50" s="13"/>
      <c r="H50" s="13"/>
      <c r="I50" s="13"/>
      <c r="J50" s="13"/>
      <c r="K50" s="13"/>
      <c r="L50" s="13"/>
      <c r="M50" s="13"/>
      <c r="N50" s="14"/>
      <c r="O50" s="15"/>
    </row>
    <row r="51" spans="1:1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4.4" customHeight="1" x14ac:dyDescent="0.8">
      <c r="C52" t="s">
        <v>77</v>
      </c>
      <c r="E52" s="97" t="s">
        <v>74</v>
      </c>
    </row>
    <row r="53" spans="1:15" ht="70.5" customHeight="1" x14ac:dyDescent="0.8">
      <c r="A53" s="97"/>
      <c r="B53" s="97"/>
      <c r="C53" s="97"/>
      <c r="D53" s="97"/>
      <c r="E53" s="126" t="str">
        <f>L12</f>
        <v>Deepanjali R
679/7 3rd Floor, Above Royal Collection Gift Shop, Bhushan Store wali gali, Govindpuri
New Delhi 110019
Delhi
Email address:
deepu_virgoin@yahoo.com
Phone:
9911005655</v>
      </c>
      <c r="F53" s="126"/>
      <c r="G53" s="126"/>
      <c r="H53" s="126"/>
      <c r="I53" s="126"/>
      <c r="J53" s="126"/>
      <c r="K53" s="126"/>
      <c r="L53" s="126"/>
      <c r="M53" s="126"/>
      <c r="N53" s="126"/>
      <c r="O53" s="97"/>
    </row>
    <row r="54" spans="1:15" ht="25.15" x14ac:dyDescent="0.8">
      <c r="A54" s="97"/>
      <c r="B54" s="97"/>
      <c r="C54" s="97"/>
      <c r="D54" s="9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97"/>
    </row>
    <row r="55" spans="1:15" ht="25.15" x14ac:dyDescent="0.8">
      <c r="A55" s="97"/>
      <c r="B55" s="97"/>
      <c r="C55" s="97"/>
      <c r="D55" s="9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97"/>
    </row>
    <row r="56" spans="1:15" ht="33" customHeight="1" x14ac:dyDescent="0.8">
      <c r="A56" s="97"/>
      <c r="B56" s="97"/>
      <c r="C56" s="97"/>
      <c r="D56" s="9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97"/>
    </row>
    <row r="57" spans="1:15" ht="39.4" customHeight="1" x14ac:dyDescent="0.8">
      <c r="A57" s="97"/>
      <c r="B57" s="97"/>
      <c r="C57" s="97"/>
      <c r="D57" s="9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97"/>
    </row>
    <row r="58" spans="1:15" ht="25.15" x14ac:dyDescent="0.8">
      <c r="A58" s="97"/>
      <c r="B58" s="97"/>
      <c r="C58" s="97"/>
      <c r="D58" s="9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97"/>
    </row>
    <row r="59" spans="1:15" ht="73.900000000000006" customHeight="1" x14ac:dyDescent="0.8">
      <c r="A59" s="97"/>
      <c r="B59" s="97"/>
      <c r="C59" s="97"/>
      <c r="D59" s="9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97"/>
    </row>
    <row r="60" spans="1:15" ht="12.75" customHeight="1" x14ac:dyDescent="0.8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</row>
    <row r="61" spans="1:15" ht="12.75" customHeight="1" x14ac:dyDescent="0.8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</row>
    <row r="62" spans="1:15" ht="25.15" x14ac:dyDescent="0.8">
      <c r="A62" s="98"/>
      <c r="B62" s="103" t="s">
        <v>75</v>
      </c>
      <c r="C62" s="98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</row>
    <row r="63" spans="1:15" ht="25.15" x14ac:dyDescent="0.8">
      <c r="A63" s="98"/>
      <c r="B63" s="104" t="s">
        <v>1</v>
      </c>
      <c r="C63" s="98"/>
      <c r="D63" s="97"/>
      <c r="E63" s="97" t="s">
        <v>4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</row>
    <row r="64" spans="1:15" ht="25.15" x14ac:dyDescent="0.8">
      <c r="A64" s="98"/>
      <c r="B64" s="104" t="s">
        <v>50</v>
      </c>
      <c r="C64" s="98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</row>
    <row r="65" spans="1:16" ht="25.15" x14ac:dyDescent="0.8">
      <c r="A65" s="98"/>
      <c r="B65" s="105" t="s">
        <v>76</v>
      </c>
      <c r="C65" s="98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</row>
    <row r="66" spans="1:16" ht="25.15" x14ac:dyDescent="0.8">
      <c r="A66" s="100"/>
      <c r="B66" s="102" t="s">
        <v>4</v>
      </c>
      <c r="C66" s="100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"/>
    </row>
    <row r="67" spans="1:16" ht="18" x14ac:dyDescent="0.55000000000000004">
      <c r="A67" s="99"/>
      <c r="B67" s="99"/>
      <c r="C67" s="99"/>
    </row>
    <row r="68" spans="1:16" ht="18" x14ac:dyDescent="0.55000000000000004">
      <c r="A68" s="99"/>
      <c r="B68" s="99"/>
      <c r="C68" s="99"/>
    </row>
    <row r="69" spans="1:16" ht="18" x14ac:dyDescent="0.55000000000000004">
      <c r="A69" s="99"/>
      <c r="B69" s="99"/>
      <c r="C69" s="99"/>
    </row>
    <row r="70" spans="1:16" ht="18" x14ac:dyDescent="0.55000000000000004">
      <c r="A70" s="99"/>
      <c r="B70" s="99"/>
      <c r="C70" s="99"/>
    </row>
    <row r="71" spans="1:16" ht="18" x14ac:dyDescent="0.55000000000000004">
      <c r="A71" s="99"/>
      <c r="B71" s="99"/>
      <c r="C71" s="99"/>
    </row>
    <row r="72" spans="1:16" ht="18" x14ac:dyDescent="0.55000000000000004">
      <c r="A72" s="99"/>
      <c r="B72" s="99"/>
      <c r="C72" s="99"/>
    </row>
    <row r="73" spans="1:16" ht="18" x14ac:dyDescent="0.55000000000000004">
      <c r="A73" s="99"/>
      <c r="B73" s="99"/>
      <c r="C73" s="99"/>
    </row>
    <row r="74" spans="1:16" ht="18" x14ac:dyDescent="0.55000000000000004">
      <c r="A74" s="99"/>
      <c r="B74" s="99"/>
      <c r="C74" s="99"/>
    </row>
    <row r="75" spans="1:16" ht="18" x14ac:dyDescent="0.55000000000000004">
      <c r="A75" s="99"/>
      <c r="B75" s="99"/>
      <c r="C75" s="99"/>
    </row>
    <row r="76" spans="1:16" ht="18" x14ac:dyDescent="0.55000000000000004">
      <c r="A76" s="99"/>
      <c r="B76" s="99"/>
      <c r="C76" s="99"/>
    </row>
    <row r="77" spans="1:16" ht="18" x14ac:dyDescent="0.55000000000000004">
      <c r="A77" s="99"/>
      <c r="B77" s="99"/>
      <c r="C77" s="99"/>
    </row>
  </sheetData>
  <mergeCells count="5">
    <mergeCell ref="B2:O2"/>
    <mergeCell ref="C47:N47"/>
    <mergeCell ref="L12:O19"/>
    <mergeCell ref="B12:B19"/>
    <mergeCell ref="E53:N59"/>
  </mergeCells>
  <hyperlinks>
    <hyperlink ref="B7" r:id="rId1" display="http://www.beanleafbrew.com/" xr:uid="{70A1DEA2-1B7A-432D-A941-B0F60AEC422E}"/>
    <hyperlink ref="K16" r:id="rId2" display="tel:9820557008" xr:uid="{892A723C-3AC2-43F3-9265-C0A7D78E8943}"/>
    <hyperlink ref="B8" r:id="rId3" display="www.beanleafbrew.com" xr:uid="{8A5E0E14-B50F-4C9A-ABE8-BD4B3ABBC02A}"/>
    <hyperlink ref="B65" r:id="rId4" display="http://www.beanleafbrew.com/" xr:uid="{B8DCADC7-6700-47FA-9062-BF1998F5A0F3}"/>
    <hyperlink ref="B66" r:id="rId5" display="www.beanleafbrew.com" xr:uid="{BE8E3A32-CE30-4B26-B7F9-9BDD59CB72DD}"/>
  </hyperlinks>
  <pageMargins left="0.70866141732283472" right="0.70866141732283472" top="0.74803149606299213" bottom="0.74803149606299213" header="0.31496062992125984" footer="0.31496062992125984"/>
  <pageSetup scale="5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NBL MONARCH  </vt:lpstr>
      <vt:lpstr>'NBL MONARCH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pantheeradi</dc:creator>
  <cp:lastModifiedBy>Apantheeradi</cp:lastModifiedBy>
  <cp:lastPrinted>2026-06-09T05:16:12Z</cp:lastPrinted>
  <dcterms:created xsi:type="dcterms:W3CDTF">2024-02-02T10:24:10Z</dcterms:created>
  <dcterms:modified xsi:type="dcterms:W3CDTF">2026-09-19T05:26:21Z</dcterms:modified>
</cp:coreProperties>
</file>